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C05\Desktop\epidemicネタ\game\Contact structure\population fraction\"/>
    </mc:Choice>
  </mc:AlternateContent>
  <xr:revisionPtr revIDLastSave="0" documentId="13_ncr:1_{E26B692F-4D98-48CC-A74F-9889D0039ABD}" xr6:coauthVersionLast="47" xr6:coauthVersionMax="47" xr10:uidLastSave="{00000000-0000-0000-0000-000000000000}"/>
  <bookViews>
    <workbookView xWindow="28680" yWindow="-120" windowWidth="29040" windowHeight="17640" xr2:uid="{13A1111B-F8D1-4935-A41F-883A0211DA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" i="1"/>
  <c r="D23" i="1" l="1"/>
  <c r="E13" i="1" s="1"/>
  <c r="X26" i="1" s="1"/>
  <c r="E3" i="1" l="1"/>
  <c r="D26" i="1" s="1"/>
  <c r="E20" i="1"/>
  <c r="E21" i="1"/>
  <c r="E4" i="1"/>
  <c r="F26" i="1" s="1"/>
  <c r="E5" i="1"/>
  <c r="H26" i="1" s="1"/>
  <c r="E6" i="1"/>
  <c r="J26" i="1" s="1"/>
  <c r="E7" i="1"/>
  <c r="L26" i="1" s="1"/>
  <c r="E14" i="1"/>
  <c r="Z26" i="1" s="1"/>
  <c r="E15" i="1"/>
  <c r="AB26" i="1" s="1"/>
  <c r="E16" i="1"/>
  <c r="AD26" i="1" s="1"/>
  <c r="E17" i="1"/>
  <c r="E18" i="1"/>
  <c r="E8" i="1"/>
  <c r="N26" i="1" s="1"/>
  <c r="E9" i="1"/>
  <c r="P26" i="1" s="1"/>
  <c r="E22" i="1"/>
  <c r="E2" i="1"/>
  <c r="B26" i="1" s="1"/>
  <c r="E10" i="1"/>
  <c r="R26" i="1" s="1"/>
  <c r="E11" i="1"/>
  <c r="T26" i="1" s="1"/>
  <c r="E12" i="1"/>
  <c r="V26" i="1" s="1"/>
  <c r="E19" i="1"/>
  <c r="F17" i="1" l="1"/>
  <c r="AF26" i="1" s="1"/>
</calcChain>
</file>

<file path=xl/sharedStrings.xml><?xml version="1.0" encoding="utf-8"?>
<sst xmlns="http://schemas.openxmlformats.org/spreadsheetml/2006/main" count="41" uniqueCount="28">
  <si>
    <t>Age</t>
  </si>
  <si>
    <t>M</t>
  </si>
  <si>
    <t>F</t>
  </si>
  <si>
    <t>0-4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</si>
  <si>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</si>
  <si>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</si>
  <si>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</si>
  <si>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</si>
  <si>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</si>
  <si>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</si>
  <si>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</si>
  <si>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</si>
  <si>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</si>
  <si>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</si>
  <si>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</si>
  <si>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</si>
  <si>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</si>
  <si>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</si>
  <si>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85-89</t>
  </si>
  <si>
    <t>90-94</t>
  </si>
  <si>
    <t>95-99</t>
  </si>
  <si>
    <t>100+</t>
  </si>
  <si>
    <t xml:space="preserve">total </t>
    <phoneticPr fontId="1"/>
  </si>
  <si>
    <t>{</t>
    <phoneticPr fontId="1"/>
  </si>
  <si>
    <t>,</t>
    <phoneticPr fontId="1"/>
  </si>
  <si>
    <t xml:space="preserve">, </t>
    <phoneticPr fontId="1"/>
  </si>
  <si>
    <t>}</t>
    <phoneticPr fontId="1"/>
  </si>
  <si>
    <t>;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</si>
</sst>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56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F79AE-6113-4FC6-9D33-68DE5E7A50F7}">
  <dimension ref="A1:AH26"/>
  <sheetViews>
    <sheetView tabSelected="1" workbookViewId="0">
      <selection sqref="A1:C22"/>
    </sheetView>
  </sheetViews>
  <sheetFormatPr defaultRowHeight="18.75" x14ac:dyDescent="0.4"/>
  <sheetData>
    <row r="1" spans="1:5" x14ac:dyDescent="0.4">
      <c r="A1" t="s">
        <v>0</v>
      </c>
      <c r="B1" t="s">
        <v>1</v>
      </c>
      <c r="C1" t="s">
        <v>2</v>
      </c>
      <c r="D1" t="s">
        <v>22</v>
      </c>
    </row>
    <row r="2" spans="1:5" x14ac:dyDescent="0.4">
      <c r="A2" t="s">
        <v>3</v>
      </c>
      <c r="B2">
        <v>1891666</v>
      </c>
      <c r="C2">
        <v>1821623</v>
      </c>
      <c r="D2">
        <f>B2+C2</f>
        <v>3713289</v>
      </c>
      <c r="E2">
        <f>D2/$D$23</f>
        <v>8.0011964014354744E-2</v>
      </c>
    </row>
    <row r="3" spans="1:5" x14ac:dyDescent="0.4">
      <c r="A3" s="1">
        <v>45055</v>
      </c>
      <c r="B3">
        <v>1904019</v>
      </c>
      <c r="C3">
        <v>1834792</v>
      </c>
      <c r="D3">
        <f t="shared" ref="D3:D22" si="0">B3+C3</f>
        <v>3738811</v>
      </c>
      <c r="E3">
        <f t="shared" ref="E3:E22" si="1">D3/$D$23</f>
        <v>8.0561898410943425E-2</v>
      </c>
    </row>
    <row r="4" spans="1:5" x14ac:dyDescent="0.4">
      <c r="A4" s="1">
        <v>45213</v>
      </c>
      <c r="B4">
        <v>1866498</v>
      </c>
      <c r="C4">
        <v>1799979</v>
      </c>
      <c r="D4">
        <f t="shared" si="0"/>
        <v>3666477</v>
      </c>
      <c r="E4">
        <f t="shared" si="1"/>
        <v>7.9003284092204876E-2</v>
      </c>
    </row>
    <row r="5" spans="1:5" x14ac:dyDescent="0.4">
      <c r="A5" t="s">
        <v>4</v>
      </c>
      <c r="B5">
        <v>1813288</v>
      </c>
      <c r="C5">
        <v>1752900</v>
      </c>
      <c r="D5">
        <f t="shared" si="0"/>
        <v>3566188</v>
      </c>
      <c r="E5">
        <f t="shared" si="1"/>
        <v>7.6842310395022775E-2</v>
      </c>
    </row>
    <row r="6" spans="1:5" x14ac:dyDescent="0.4">
      <c r="A6" t="s">
        <v>5</v>
      </c>
      <c r="B6">
        <v>1775911</v>
      </c>
      <c r="C6">
        <v>1725687</v>
      </c>
      <c r="D6">
        <f t="shared" si="0"/>
        <v>3501598</v>
      </c>
      <c r="E6">
        <f t="shared" si="1"/>
        <v>7.5450559643684231E-2</v>
      </c>
    </row>
    <row r="7" spans="1:5" x14ac:dyDescent="0.4">
      <c r="A7" t="s">
        <v>6</v>
      </c>
      <c r="B7">
        <v>1764540</v>
      </c>
      <c r="C7">
        <v>1727987</v>
      </c>
      <c r="D7">
        <f t="shared" si="0"/>
        <v>3492527</v>
      </c>
      <c r="E7">
        <f t="shared" si="1"/>
        <v>7.5255102590496545E-2</v>
      </c>
    </row>
    <row r="8" spans="1:5" x14ac:dyDescent="0.4">
      <c r="A8" t="s">
        <v>7</v>
      </c>
      <c r="B8">
        <v>1733791</v>
      </c>
      <c r="C8">
        <v>1720706</v>
      </c>
      <c r="D8">
        <f t="shared" si="0"/>
        <v>3454497</v>
      </c>
      <c r="E8">
        <f t="shared" si="1"/>
        <v>7.443565250420757E-2</v>
      </c>
    </row>
    <row r="9" spans="1:5" x14ac:dyDescent="0.4">
      <c r="A9" t="s">
        <v>8</v>
      </c>
      <c r="B9">
        <v>1599432</v>
      </c>
      <c r="C9">
        <v>1613633</v>
      </c>
      <c r="D9">
        <f t="shared" si="0"/>
        <v>3213065</v>
      </c>
      <c r="E9">
        <f t="shared" si="1"/>
        <v>6.9233404982963279E-2</v>
      </c>
    </row>
    <row r="10" spans="1:5" x14ac:dyDescent="0.4">
      <c r="A10" t="s">
        <v>9</v>
      </c>
      <c r="B10">
        <v>1533686</v>
      </c>
      <c r="C10">
        <v>1571438</v>
      </c>
      <c r="D10">
        <f t="shared" si="0"/>
        <v>3105124</v>
      </c>
      <c r="E10">
        <f t="shared" si="1"/>
        <v>6.6907550085142653E-2</v>
      </c>
    </row>
    <row r="11" spans="1:5" x14ac:dyDescent="0.4">
      <c r="A11" t="s">
        <v>10</v>
      </c>
      <c r="B11">
        <v>1423412</v>
      </c>
      <c r="C11">
        <v>1494615</v>
      </c>
      <c r="D11">
        <f t="shared" si="0"/>
        <v>2918027</v>
      </c>
      <c r="E11">
        <f t="shared" si="1"/>
        <v>6.2876084063727744E-2</v>
      </c>
    </row>
    <row r="12" spans="1:5" x14ac:dyDescent="0.4">
      <c r="A12" t="s">
        <v>11</v>
      </c>
      <c r="B12">
        <v>1174628</v>
      </c>
      <c r="C12">
        <v>1269938</v>
      </c>
      <c r="D12">
        <f t="shared" si="0"/>
        <v>2444566</v>
      </c>
      <c r="E12">
        <f t="shared" si="1"/>
        <v>5.2674199832739958E-2</v>
      </c>
    </row>
    <row r="13" spans="1:5" x14ac:dyDescent="0.4">
      <c r="A13" t="s">
        <v>12</v>
      </c>
      <c r="B13">
        <v>1028262</v>
      </c>
      <c r="C13">
        <v>1144812</v>
      </c>
      <c r="D13">
        <f t="shared" si="0"/>
        <v>2173074</v>
      </c>
      <c r="E13">
        <f t="shared" si="1"/>
        <v>4.6824235519651161E-2</v>
      </c>
    </row>
    <row r="14" spans="1:5" x14ac:dyDescent="0.4">
      <c r="A14" t="s">
        <v>13</v>
      </c>
      <c r="B14">
        <v>912034</v>
      </c>
      <c r="C14">
        <v>1053265</v>
      </c>
      <c r="D14">
        <f t="shared" si="0"/>
        <v>1965299</v>
      </c>
      <c r="E14">
        <f t="shared" si="1"/>
        <v>4.2347211021131773E-2</v>
      </c>
    </row>
    <row r="15" spans="1:5" x14ac:dyDescent="0.4">
      <c r="A15" t="s">
        <v>14</v>
      </c>
      <c r="B15">
        <v>768753</v>
      </c>
      <c r="C15">
        <v>930887</v>
      </c>
      <c r="D15">
        <f t="shared" si="0"/>
        <v>1699640</v>
      </c>
      <c r="E15">
        <f t="shared" si="1"/>
        <v>3.6622933070212929E-2</v>
      </c>
    </row>
    <row r="16" spans="1:5" x14ac:dyDescent="0.4">
      <c r="A16" t="s">
        <v>15</v>
      </c>
      <c r="B16">
        <v>613730</v>
      </c>
      <c r="C16">
        <v>802530</v>
      </c>
      <c r="D16">
        <f t="shared" si="0"/>
        <v>1416260</v>
      </c>
      <c r="E16">
        <f t="shared" si="1"/>
        <v>3.0516812495598931E-2</v>
      </c>
    </row>
    <row r="17" spans="1:34" x14ac:dyDescent="0.4">
      <c r="A17" t="s">
        <v>16</v>
      </c>
      <c r="B17">
        <v>426536</v>
      </c>
      <c r="C17">
        <v>627601</v>
      </c>
      <c r="D17">
        <f t="shared" si="0"/>
        <v>1054137</v>
      </c>
      <c r="E17">
        <f t="shared" si="1"/>
        <v>2.2713979900352455E-2</v>
      </c>
      <c r="F17">
        <f>SUM(E17:E22)</f>
        <v>5.0436797277917396E-2</v>
      </c>
    </row>
    <row r="18" spans="1:34" x14ac:dyDescent="0.4">
      <c r="A18" t="s">
        <v>17</v>
      </c>
      <c r="B18">
        <v>247137</v>
      </c>
      <c r="C18">
        <v>430916</v>
      </c>
      <c r="D18">
        <f t="shared" si="0"/>
        <v>678053</v>
      </c>
      <c r="E18">
        <f t="shared" si="1"/>
        <v>1.461032314905338E-2</v>
      </c>
    </row>
    <row r="19" spans="1:34" x14ac:dyDescent="0.4">
      <c r="A19" t="s">
        <v>18</v>
      </c>
      <c r="B19">
        <v>122079</v>
      </c>
      <c r="C19">
        <v>260007</v>
      </c>
      <c r="D19">
        <f t="shared" si="0"/>
        <v>382086</v>
      </c>
      <c r="E19">
        <f t="shared" si="1"/>
        <v>8.2329846350199919E-3</v>
      </c>
    </row>
    <row r="20" spans="1:34" x14ac:dyDescent="0.4">
      <c r="A20" t="s">
        <v>19</v>
      </c>
      <c r="B20">
        <v>46364</v>
      </c>
      <c r="C20">
        <v>124866</v>
      </c>
      <c r="D20">
        <f t="shared" si="0"/>
        <v>171230</v>
      </c>
      <c r="E20">
        <f t="shared" si="1"/>
        <v>3.6895723974562614E-3</v>
      </c>
    </row>
    <row r="21" spans="1:34" x14ac:dyDescent="0.4">
      <c r="A21" t="s">
        <v>20</v>
      </c>
      <c r="B21">
        <v>11078</v>
      </c>
      <c r="C21">
        <v>39124</v>
      </c>
      <c r="D21">
        <f t="shared" si="0"/>
        <v>50202</v>
      </c>
      <c r="E21">
        <f t="shared" si="1"/>
        <v>1.0817258278169668E-3</v>
      </c>
    </row>
    <row r="22" spans="1:34" x14ac:dyDescent="0.4">
      <c r="A22" t="s">
        <v>21</v>
      </c>
      <c r="B22">
        <v>844</v>
      </c>
      <c r="C22">
        <v>4178</v>
      </c>
      <c r="D22">
        <f t="shared" si="0"/>
        <v>5022</v>
      </c>
      <c r="E22">
        <f t="shared" si="1"/>
        <v>1.0821136821833408E-4</v>
      </c>
    </row>
    <row r="23" spans="1:34" x14ac:dyDescent="0.4">
      <c r="D23">
        <f>SUM(D2:D22)</f>
        <v>46409172</v>
      </c>
    </row>
    <row r="26" spans="1:34" x14ac:dyDescent="0.4">
      <c r="A26" t="s">
        <v>23</v>
      </c>
      <c r="B26">
        <f>E2</f>
        <v>8.0011964014354744E-2</v>
      </c>
      <c r="C26" t="s">
        <v>24</v>
      </c>
      <c r="D26">
        <f>E3</f>
        <v>8.0561898410943425E-2</v>
      </c>
      <c r="E26" t="s">
        <v>24</v>
      </c>
      <c r="F26">
        <f>E4</f>
        <v>7.9003284092204876E-2</v>
      </c>
      <c r="G26" t="s">
        <v>24</v>
      </c>
      <c r="H26">
        <f>E5</f>
        <v>7.6842310395022775E-2</v>
      </c>
      <c r="I26" t="s">
        <v>24</v>
      </c>
      <c r="J26">
        <f>E6</f>
        <v>7.5450559643684231E-2</v>
      </c>
      <c r="K26" t="s">
        <v>24</v>
      </c>
      <c r="L26">
        <f>E7</f>
        <v>7.5255102590496545E-2</v>
      </c>
      <c r="M26" t="s">
        <v>24</v>
      </c>
      <c r="N26">
        <f>E8</f>
        <v>7.443565250420757E-2</v>
      </c>
      <c r="O26" t="s">
        <v>24</v>
      </c>
      <c r="P26">
        <f>E9</f>
        <v>6.9233404982963279E-2</v>
      </c>
      <c r="Q26" t="s">
        <v>24</v>
      </c>
      <c r="R26">
        <f>E10</f>
        <v>6.6907550085142653E-2</v>
      </c>
      <c r="S26" t="s">
        <v>24</v>
      </c>
      <c r="T26">
        <f>E11</f>
        <v>6.2876084063727744E-2</v>
      </c>
      <c r="U26" t="s">
        <v>24</v>
      </c>
      <c r="V26">
        <f>E12</f>
        <v>5.2674199832739958E-2</v>
      </c>
      <c r="W26" t="s">
        <v>24</v>
      </c>
      <c r="X26">
        <f>E13</f>
        <v>4.6824235519651161E-2</v>
      </c>
      <c r="Y26" t="s">
        <v>25</v>
      </c>
      <c r="Z26">
        <f>E14</f>
        <v>4.2347211021131773E-2</v>
      </c>
      <c r="AA26" t="s">
        <v>24</v>
      </c>
      <c r="AB26">
        <f>E15</f>
        <v>3.6622933070212929E-2</v>
      </c>
      <c r="AC26" t="s">
        <v>24</v>
      </c>
      <c r="AD26">
        <f>E16</f>
        <v>3.0516812495598931E-2</v>
      </c>
      <c r="AE26" t="s">
        <v>24</v>
      </c>
      <c r="AF26">
        <f>F17</f>
        <v>5.0436797277917396E-2</v>
      </c>
      <c r="AG26" t="s">
        <v>26</v>
      </c>
      <c r="AH26" t="s">
        <v>27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HPC05</dc:creator>
  <cp:lastModifiedBy>HPC05</cp:lastModifiedBy>
  <dcterms:created xsi:type="dcterms:W3CDTF">2023-01-05T07:02:18Z</dcterms:created>
  <dcterms:modified xsi:type="dcterms:W3CDTF">2023-01-05T08:54:45Z</dcterms:modified>
</cp:coreProperties>
</file>